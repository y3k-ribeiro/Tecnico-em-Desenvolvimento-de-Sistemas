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<sst xmlns="http://schemas.openxmlformats.org/spreadsheetml/2006/main" count="24" uniqueCount="22">
  <si>
    <t>Porc. de Lucro</t>
  </si>
  <si>
    <t>Cotação do Dólar</t>
  </si>
  <si>
    <t>Reais (R$)</t>
  </si>
  <si>
    <t>Dólares(U$)</t>
  </si>
  <si>
    <t>Produto</t>
  </si>
  <si>
    <t xml:space="preserve">Estoque </t>
  </si>
  <si>
    <t>Custo</t>
  </si>
  <si>
    <t>Venda</t>
  </si>
  <si>
    <r>
      <rPr>
        <rFont val="Arial"/>
        <b/>
        <color theme="1"/>
      </rPr>
      <t>Total</t>
    </r>
    <r>
      <rPr>
        <rFont val="Arial"/>
        <color theme="1"/>
      </rPr>
      <t xml:space="preserve"> </t>
    </r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</si>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</sst>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3" fontId="1" numFmtId="0" xfId="0" applyBorder="1" applyFill="1" applyFont="1"/>
    <xf borderId="1" fillId="3" fontId="2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 readingOrder="0"/>
    </xf>
    <xf borderId="1" fillId="3" fontId="1" numFmtId="164" xfId="0" applyBorder="1" applyFont="1" applyNumberFormat="1"/>
    <xf borderId="1" fillId="4" fontId="2" numFmtId="0" xfId="0" applyAlignment="1" applyBorder="1" applyFill="1" applyFont="1">
      <alignment readingOrder="0"/>
    </xf>
    <xf borderId="1" fillId="4" fontId="1" numFmtId="0" xfId="0" applyBorder="1" applyFont="1"/>
    <xf borderId="1" fillId="4" fontId="1" numFmtId="164" xfId="0" applyAlignment="1" applyBorder="1" applyFont="1" applyNumberFormat="1">
      <alignment horizontal="center"/>
    </xf>
    <xf borderId="1" fillId="4" fontId="1" numFmtId="164" xfId="0" applyBorder="1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88"/>
  </cols>
  <sheetData>
    <row r="1">
      <c r="A1" s="1" t="s">
        <v>0</v>
      </c>
      <c r="B1" s="2">
        <v>0.125</v>
      </c>
      <c r="C1" s="3"/>
      <c r="D1" s="3"/>
      <c r="E1" s="3"/>
      <c r="F1" s="3"/>
      <c r="G1" s="3"/>
      <c r="H1" s="3"/>
    </row>
    <row r="2">
      <c r="A2" s="1" t="s">
        <v>1</v>
      </c>
      <c r="B2" s="3"/>
      <c r="C2" s="3"/>
      <c r="D2" s="3"/>
      <c r="E2" s="3"/>
      <c r="F2" s="3"/>
      <c r="G2" s="3"/>
      <c r="H2" s="3"/>
    </row>
    <row r="3">
      <c r="A3" s="4"/>
      <c r="B3" s="4"/>
      <c r="C3" s="5"/>
      <c r="D3" s="6" t="s">
        <v>2</v>
      </c>
      <c r="E3" s="5"/>
      <c r="F3" s="7"/>
      <c r="G3" s="8" t="s">
        <v>3</v>
      </c>
      <c r="H3" s="7"/>
    </row>
    <row r="4">
      <c r="A4" s="3" t="s">
        <v>4</v>
      </c>
      <c r="B4" s="3" t="s">
        <v>5</v>
      </c>
      <c r="C4" s="6" t="s">
        <v>6</v>
      </c>
      <c r="D4" s="6" t="s">
        <v>7</v>
      </c>
      <c r="E4" s="9" t="s">
        <v>8</v>
      </c>
      <c r="F4" s="8" t="s">
        <v>6</v>
      </c>
      <c r="G4" s="8" t="s">
        <v>7</v>
      </c>
      <c r="H4" s="8" t="s">
        <v>9</v>
      </c>
    </row>
    <row r="5">
      <c r="A5" s="10" t="s">
        <v>10</v>
      </c>
      <c r="B5" s="11">
        <v>500.0</v>
      </c>
      <c r="C5" s="12">
        <v>2.0</v>
      </c>
      <c r="D5" s="12">
        <f>C5*B1+C5</f>
        <v>2.25</v>
      </c>
      <c r="E5" s="13">
        <f t="shared" ref="E5:E15" si="1">D5*B5</f>
        <v>1125</v>
      </c>
      <c r="F5" s="14">
        <v>1.0</v>
      </c>
      <c r="G5" s="14">
        <v>2.0</v>
      </c>
      <c r="H5" s="15">
        <f t="shared" ref="H5:H15" si="2">G5*B5</f>
        <v>1000</v>
      </c>
    </row>
    <row r="6">
      <c r="A6" s="10" t="s">
        <v>11</v>
      </c>
      <c r="B6" s="11">
        <v>200.0</v>
      </c>
      <c r="C6" s="12">
        <v>20.0</v>
      </c>
      <c r="D6" s="12">
        <f>C6*B1+C6</f>
        <v>22.5</v>
      </c>
      <c r="E6" s="13">
        <f t="shared" si="1"/>
        <v>4500</v>
      </c>
      <c r="F6" s="14">
        <v>10.0</v>
      </c>
      <c r="G6" s="14">
        <v>20.0</v>
      </c>
      <c r="H6" s="15">
        <f t="shared" si="2"/>
        <v>4000</v>
      </c>
    </row>
    <row r="7">
      <c r="A7" s="10" t="s">
        <v>12</v>
      </c>
      <c r="B7" s="11">
        <v>300.0</v>
      </c>
      <c r="C7" s="12">
        <v>25.0</v>
      </c>
      <c r="D7" s="12">
        <f>C7*B1+C7</f>
        <v>28.125</v>
      </c>
      <c r="E7" s="13">
        <f t="shared" si="1"/>
        <v>8437.5</v>
      </c>
      <c r="F7" s="14">
        <v>12.5</v>
      </c>
      <c r="G7" s="14">
        <v>25.0</v>
      </c>
      <c r="H7" s="15">
        <f t="shared" si="2"/>
        <v>7500</v>
      </c>
    </row>
    <row r="8">
      <c r="A8" s="10" t="s">
        <v>13</v>
      </c>
      <c r="B8" s="11">
        <v>1000.0</v>
      </c>
      <c r="C8" s="12">
        <v>2.0</v>
      </c>
      <c r="D8" s="12">
        <f>C8*B1+C8</f>
        <v>2.25</v>
      </c>
      <c r="E8" s="13">
        <f t="shared" si="1"/>
        <v>2250</v>
      </c>
      <c r="F8" s="14">
        <v>1.0</v>
      </c>
      <c r="G8" s="14">
        <v>2.0</v>
      </c>
      <c r="H8" s="15">
        <f t="shared" si="2"/>
        <v>2000</v>
      </c>
    </row>
    <row r="9">
      <c r="A9" s="10" t="s">
        <v>14</v>
      </c>
      <c r="B9" s="11">
        <v>900.0</v>
      </c>
      <c r="C9" s="12">
        <v>2.0</v>
      </c>
      <c r="D9" s="12">
        <f>C9*B1+C9</f>
        <v>2.25</v>
      </c>
      <c r="E9" s="13">
        <f t="shared" si="1"/>
        <v>2025</v>
      </c>
      <c r="F9" s="14">
        <v>1.0</v>
      </c>
      <c r="G9" s="14">
        <v>2.0</v>
      </c>
      <c r="H9" s="15">
        <f t="shared" si="2"/>
        <v>1800</v>
      </c>
    </row>
    <row r="10">
      <c r="A10" s="10" t="s">
        <v>15</v>
      </c>
      <c r="B10" s="11">
        <v>200.0</v>
      </c>
      <c r="C10" s="12">
        <v>3.0</v>
      </c>
      <c r="D10" s="12">
        <f>C10*B1+C10</f>
        <v>3.375</v>
      </c>
      <c r="E10" s="13">
        <f t="shared" si="1"/>
        <v>675</v>
      </c>
      <c r="F10" s="14">
        <v>1.5</v>
      </c>
      <c r="G10" s="14">
        <v>3.0</v>
      </c>
      <c r="H10" s="15">
        <f t="shared" si="2"/>
        <v>600</v>
      </c>
    </row>
    <row r="11">
      <c r="A11" s="10" t="s">
        <v>16</v>
      </c>
      <c r="B11" s="11">
        <v>500.0</v>
      </c>
      <c r="C11" s="12">
        <v>10.0</v>
      </c>
      <c r="D11" s="12">
        <f>C11*B1+C11</f>
        <v>11.25</v>
      </c>
      <c r="E11" s="13">
        <f t="shared" si="1"/>
        <v>5625</v>
      </c>
      <c r="F11" s="14">
        <v>5.0</v>
      </c>
      <c r="G11" s="14">
        <v>10.0</v>
      </c>
      <c r="H11" s="15">
        <f t="shared" si="2"/>
        <v>5000</v>
      </c>
    </row>
    <row r="12">
      <c r="A12" s="10" t="s">
        <v>17</v>
      </c>
      <c r="B12" s="11">
        <v>500.0</v>
      </c>
      <c r="C12" s="12">
        <v>15.0</v>
      </c>
      <c r="D12" s="12">
        <f>C12*B1+C12</f>
        <v>16.875</v>
      </c>
      <c r="E12" s="13">
        <f t="shared" si="1"/>
        <v>8437.5</v>
      </c>
      <c r="F12" s="14">
        <v>7.5</v>
      </c>
      <c r="G12" s="14">
        <v>15.0</v>
      </c>
      <c r="H12" s="15">
        <f t="shared" si="2"/>
        <v>7500</v>
      </c>
    </row>
    <row r="13">
      <c r="A13" s="10" t="s">
        <v>18</v>
      </c>
      <c r="B13" s="11">
        <v>50.0</v>
      </c>
      <c r="C13" s="12">
        <v>5.0</v>
      </c>
      <c r="D13" s="12">
        <f>C13*B1+C13</f>
        <v>5.625</v>
      </c>
      <c r="E13" s="13">
        <f t="shared" si="1"/>
        <v>281.25</v>
      </c>
      <c r="F13" s="14">
        <v>2.5</v>
      </c>
      <c r="G13" s="14">
        <v>5.0</v>
      </c>
      <c r="H13" s="15">
        <f t="shared" si="2"/>
        <v>250</v>
      </c>
    </row>
    <row r="14">
      <c r="A14" s="10" t="s">
        <v>19</v>
      </c>
      <c r="B14" s="11">
        <v>100.0</v>
      </c>
      <c r="C14" s="12">
        <v>8.0</v>
      </c>
      <c r="D14" s="12">
        <f>C14*B1+C14</f>
        <v>9</v>
      </c>
      <c r="E14" s="13">
        <f t="shared" si="1"/>
        <v>900</v>
      </c>
      <c r="F14" s="14">
        <v>4.0</v>
      </c>
      <c r="G14" s="14">
        <v>8.0</v>
      </c>
      <c r="H14" s="15">
        <f t="shared" si="2"/>
        <v>800</v>
      </c>
    </row>
    <row r="15">
      <c r="A15" s="10" t="s">
        <v>20</v>
      </c>
      <c r="B15" s="11">
        <v>100.0</v>
      </c>
      <c r="C15" s="12">
        <v>11.0</v>
      </c>
      <c r="D15" s="12">
        <f>C15*B1+C15</f>
        <v>12.375</v>
      </c>
      <c r="E15" s="13">
        <f t="shared" si="1"/>
        <v>1237.5</v>
      </c>
      <c r="F15" s="14">
        <v>5.5</v>
      </c>
      <c r="G15" s="14">
        <v>11.0</v>
      </c>
      <c r="H15" s="15">
        <f t="shared" si="2"/>
        <v>1100</v>
      </c>
    </row>
    <row r="16">
      <c r="A16" s="16" t="s">
        <v>21</v>
      </c>
      <c r="B16" s="17"/>
      <c r="C16" s="17"/>
      <c r="D16" s="17"/>
      <c r="E16" s="18">
        <f>SUM(E1:E15)</f>
        <v>35493.75</v>
      </c>
      <c r="F16" s="17"/>
      <c r="G16" s="17"/>
      <c r="H16" s="19">
        <f>SUM(H1:H15)</f>
        <v>31550</v>
      </c>
    </row>
    <row r="20">
      <c r="D20" s="20"/>
    </row>
  </sheetData>
  <drawing r:id="rId1"/>
</worksheet>
</file>